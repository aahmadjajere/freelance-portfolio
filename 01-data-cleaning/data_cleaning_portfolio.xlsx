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4be2881ee346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eaned Data" sheetId="1" r:id="Raa2bed3da1b14b67"/>
    <x:sheet xmlns:r="http://schemas.openxmlformats.org/officeDocument/2006/relationships" name="Summary" sheetId="2" r:id="R4280691c391b44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83B2A"/>
      </x:patternFill>
    </x:fill>
    <x:fill>
      <x:patternFill patternType="solid">
        <x:fgColor rgb="FF2C6948"/>
      </x:patternFill>
    </x:fill>
  </x:fills>
  <x:borders count="2">
    <x:border/>
    <x:border/>
  </x:borders>
  <x:cellStyleXfs count="1">
    <x:xf numFmtId="0" fontId="0" fillId="0" borderId="0"/>
  </x:cellStyleXfs>
  <x:cellXfs count="3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a21c2481bf4786" /><Relationship Type="http://schemas.openxmlformats.org/officeDocument/2006/relationships/theme" Target="/xl/theme/theme1.xml" Id="R61546b597cf64e82" /><Relationship Type="http://schemas.openxmlformats.org/officeDocument/2006/relationships/sharedStrings" Target="/xl/sharedStrings.xml" Id="Ra933935862a44c78" /><Relationship Type="http://schemas.openxmlformats.org/officeDocument/2006/relationships/worksheet" Target="/xl/worksheets/sheet1.xml" Id="Raa2bed3da1b14b67" /><Relationship Type="http://schemas.openxmlformats.org/officeDocument/2006/relationships/worksheet" Target="/xl/worksheets/sheet2.xml" Id="R4280691c391b444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63f574ba0c141f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Revenue by Category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Revenue</c:v>
          </c:tx>
          <c:cat>
            <c:strRef>
              <c:f>'Summary'!$A$10:$A$13</c:f>
              <c:strCache>
                <c:ptCount val="0"/>
              </c:strCache>
            </c:strRef>
          </c:cat>
          <c:val>
            <c:numRef>
              <c:f>'Summary'!$B$10:$B$13</c:f>
              <c:numCache>
                <c:formatCode>#,##0.00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63f574ba0c141f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leanedSalesTable" displayName="CleanedSalesTable" ref="A1:H10" headerRowCount="1" totalsRowCount="0" totalsRowShown="0">
  <x:tableColumns count="8">
    <x:tableColumn id="1" name="Order ID"/>
    <x:tableColumn id="2" name="Customer"/>
    <x:tableColumn id="3" name="City"/>
    <x:tableColumn id="4" name="Category"/>
    <x:tableColumn id="5" name="Units"/>
    <x:tableColumn id="6" name="Unit Price"/>
    <x:tableColumn id="7" name="Order Date"/>
    <x:tableColumn id="8" name="Reven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81d48a5ea2243f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b19059e9581c4c48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4" hidden="0" customWidth="1"/>
    <x:col min="4" max="4" width="16" hidden="0" customWidth="1"/>
    <x:col min="5" max="5" width="4.5" hidden="0" customWidth="1"/>
    <x:col min="6" max="6" width="8" hidden="0" customWidth="1"/>
    <x:col min="7" max="7" width="9.130000114440918" hidden="0" customWidth="1"/>
    <x:col min="8" max="8" width="14" hidden="0" customWidth="1"/>
  </x:cols>
  <x:sheetData>
    <x:row r="1">
      <x:c r="A1" s="15" t="str">
        <x:v>Order ID</x:v>
      </x:c>
      <x:c r="B1" s="15" t="str">
        <x:v>Customer</x:v>
      </x:c>
      <x:c r="C1" s="15" t="str">
        <x:v>City</x:v>
      </x:c>
      <x:c r="D1" s="15" t="str">
        <x:v>Category</x:v>
      </x:c>
      <x:c r="E1" s="15" t="str">
        <x:v>Units</x:v>
      </x:c>
      <x:c r="F1" s="15" t="str">
        <x:v>Unit Price</x:v>
      </x:c>
      <x:c r="G1" s="15" t="str">
        <x:v>Order Date</x:v>
      </x:c>
      <x:c r="H1" s="15" t="str">
        <x:v>Revenue</x:v>
      </x:c>
    </x:row>
    <x:row r="2">
      <x:c r="A2" s="16" t="n">
        <x:v>1001</x:v>
      </x:c>
      <x:c r="B2" s="16" t="str">
        <x:v>Acme Ltd</x:v>
      </x:c>
      <x:c r="C2" s="16" t="str">
        <x:v>Almaty</x:v>
      </x:c>
      <x:c r="D2" s="16" t="str">
        <x:v>Electronics</x:v>
      </x:c>
      <x:c r="E2" s="16" t="n">
        <x:v>2</x:v>
      </x:c>
      <x:c r="F2" s="17" t="n">
        <x:v>120</x:v>
      </x:c>
      <x:c r="G2" s="18" t="n">
        <x:v>46235</x:v>
      </x:c>
      <x:c r="H2" s="17" t="n">
        <x:v>240</x:v>
      </x:c>
    </x:row>
    <x:row r="3">
      <x:c r="A3" s="16" t="n">
        <x:v>1002</x:v>
      </x:c>
      <x:c r="B3" s="16" t="str">
        <x:v>Blue Market</x:v>
      </x:c>
      <x:c r="C3" s="16" t="str">
        <x:v>Astana</x:v>
      </x:c>
      <x:c r="D3" s="16" t="str">
        <x:v>Electronics</x:v>
      </x:c>
      <x:c r="E3" s="16" t="n">
        <x:v>1</x:v>
      </x:c>
      <x:c r="F3" s="17" t="n">
        <x:v>250</x:v>
      </x:c>
      <x:c r="G3" s="18" t="n">
        <x:v>46236</x:v>
      </x:c>
      <x:c r="H3" s="17" t="n">
        <x:v>250</x:v>
      </x:c>
    </x:row>
    <x:row r="4">
      <x:c r="A4" s="16" t="n">
        <x:v>1004</x:v>
      </x:c>
      <x:c r="B4" s="16" t="str">
        <x:v>Green Shop</x:v>
      </x:c>
      <x:c r="C4" s="16" t="str">
        <x:v>Shymkent</x:v>
      </x:c>
      <x:c r="D4" s="16" t="str">
        <x:v>Home</x:v>
      </x:c>
      <x:c r="E4" s="16" t="n">
        <x:v>5</x:v>
      </x:c>
      <x:c r="F4" s="17" t="n">
        <x:v>35</x:v>
      </x:c>
      <x:c r="G4" s="18" t="n">
        <x:v>46237</x:v>
      </x:c>
      <x:c r="H4" s="17" t="n">
        <x:v>175</x:v>
      </x:c>
    </x:row>
    <x:row r="5">
      <x:c r="A5" s="16" t="n">
        <x:v>1005</x:v>
      </x:c>
      <x:c r="B5" s="16" t="str">
        <x:v>Blue Market</x:v>
      </x:c>
      <x:c r="C5" s="16" t="str">
        <x:v>Astana</x:v>
      </x:c>
      <x:c r="D5" s="16" t="str">
        <x:v>Electronics</x:v>
      </x:c>
      <x:c r="E5" s="16" t="n">
        <x:v>3</x:v>
      </x:c>
      <x:c r="F5" s="17" t="n">
        <x:v>80</x:v>
      </x:c>
      <x:c r="G5" s="18" t="n">
        <x:v>46238</x:v>
      </x:c>
      <x:c r="H5" s="17" t="n">
        <x:v>240</x:v>
      </x:c>
    </x:row>
    <x:row r="6">
      <x:c r="A6" s="16" t="n">
        <x:v>1006</x:v>
      </x:c>
      <x:c r="B6" s="16" t="str">
        <x:v>North Cafe</x:v>
      </x:c>
      <x:c r="C6" s="16" t="str">
        <x:v>Karaganda</x:v>
      </x:c>
      <x:c r="D6" s="16" t="str">
        <x:v>Food</x:v>
      </x:c>
      <x:c r="E6" s="16" t="n">
        <x:v>10</x:v>
      </x:c>
      <x:c r="F6" s="17" t="n">
        <x:v>4.5</x:v>
      </x:c>
      <x:c r="G6" s="18" t="n">
        <x:v>46238</x:v>
      </x:c>
      <x:c r="H6" s="17" t="n">
        <x:v>45</x:v>
      </x:c>
    </x:row>
    <x:row r="7">
      <x:c r="A7" s="16" t="n">
        <x:v>1007</x:v>
      </x:c>
      <x:c r="B7" s="16" t="str">
        <x:v>Green Shop</x:v>
      </x:c>
      <x:c r="C7" s="16" t="str">
        <x:v>Shymkent</x:v>
      </x:c>
      <x:c r="D7" s="16" t="str">
        <x:v>Home</x:v>
      </x:c>
      <x:c r="E7" s="16" t="n">
        <x:v>2</x:v>
      </x:c>
      <x:c r="F7" s="17" t="n">
        <x:v>70</x:v>
      </x:c>
      <x:c r="G7" s="18" t="n">
        <x:v>46239</x:v>
      </x:c>
      <x:c r="H7" s="17" t="n">
        <x:v>140</x:v>
      </x:c>
    </x:row>
    <x:row r="8">
      <x:c r="A8" s="16" t="n">
        <x:v>1008</x:v>
      </x:c>
      <x:c r="B8" s="16" t="str">
        <x:v>North Cafe</x:v>
      </x:c>
      <x:c r="C8" s="16" t="str">
        <x:v>Karaganda</x:v>
      </x:c>
      <x:c r="D8" s="16" t="str">
        <x:v>Food</x:v>
      </x:c>
      <x:c r="E8" s="16" t="n">
        <x:v>8</x:v>
      </x:c>
      <x:c r="F8" s="17" t="n">
        <x:v>4.5</x:v>
      </x:c>
      <x:c r="G8" s="18" t="n">
        <x:v>46240</x:v>
      </x:c>
      <x:c r="H8" s="17" t="n">
        <x:v>36</x:v>
      </x:c>
    </x:row>
    <x:row r="9">
      <x:c r="A9" s="16" t="n">
        <x:v>1009</x:v>
      </x:c>
      <x:c r="B9" s="16" t="str">
        <x:v>City Books</x:v>
      </x:c>
      <x:c r="C9" s="16" t="str">
        <x:v>Almaty</x:v>
      </x:c>
      <x:c r="D9" s="16" t="str">
        <x:v>Books</x:v>
      </x:c>
      <x:c r="E9" s="16" t="n">
        <x:v>4</x:v>
      </x:c>
      <x:c r="F9" s="17" t="n">
        <x:v>18</x:v>
      </x:c>
      <x:c r="G9" s="18" t="n">
        <x:v>46240</x:v>
      </x:c>
      <x:c r="H9" s="17" t="n">
        <x:v>72</x:v>
      </x:c>
    </x:row>
    <x:row r="10">
      <x:c r="A10" s="16" t="n">
        <x:v>1010</x:v>
      </x:c>
      <x:c r="B10" s="16" t="str">
        <x:v>City Books</x:v>
      </x:c>
      <x:c r="C10" s="16" t="str">
        <x:v>Almaty</x:v>
      </x:c>
      <x:c r="D10" s="16" t="str">
        <x:v>Books</x:v>
      </x:c>
      <x:c r="E10" s="16" t="n">
        <x:v>2</x:v>
      </x:c>
      <x:c r="F10" s="17" t="n">
        <x:v>22</x:v>
      </x:c>
      <x:c r="G10" s="18" t="n">
        <x:v>46241</x:v>
      </x:c>
      <x:c r="H10" s="17" t="n">
        <x:v>44</x:v>
      </x:c>
    </x:row>
  </x:sheetData>
  <x:pageMargins left="0.7" right="0.7" top="0.75" bottom="0.75" header="0.3" footer="0.3"/>
  <x:tableParts count="1">
    <x:tablePart xmlns:r="http://schemas.openxmlformats.org/officeDocument/2006/relationships" r:id="Rc81d48a5ea2243f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4" hidden="0" customWidth="1"/>
    <x:col min="4" max="4" width="18" hidden="0" customWidth="1"/>
    <x:col min="5" max="5" width="12" hidden="0" customWidth="1"/>
  </x:cols>
  <x:sheetData>
    <x:row r="1">
      <x:c r="A1" s="25" t="str">
        <x:v>Data Cleaning &amp; Reporting — Portfolio Dashboard</x:v>
      </x:c>
    </x:row>
    <x:row r="3">
      <x:c r="A3" s="30" t="str">
        <x:v>KPI</x:v>
      </x:c>
      <x:c r="B3" s="30" t="str">
        <x:v>Value</x:v>
      </x:c>
    </x:row>
    <x:row r="4">
      <x:c r="A4" s="10" t="str">
        <x:v>Orders</x:v>
      </x:c>
      <x:c r="B4" s="10" t="n">
        <x:f>COUNTA('Cleaned Data'!A2:A10)</x:f>
        <x:v>9</x:v>
      </x:c>
    </x:row>
    <x:row r="5">
      <x:c r="A5" s="10" t="str">
        <x:v>Units sold</x:v>
      </x:c>
      <x:c r="B5" s="10" t="n">
        <x:f>SUM('Cleaned Data'!E2:E10)</x:f>
        <x:v>37</x:v>
      </x:c>
    </x:row>
    <x:row r="6">
      <x:c r="A6" s="10" t="str">
        <x:v>Revenue</x:v>
      </x:c>
      <x:c r="B6" s="13" t="n">
        <x:f>SUM('Cleaned Data'!H2:H10)</x:f>
        <x:v>1242</x:v>
      </x:c>
    </x:row>
    <x:row r="9">
      <x:c r="A9" s="30" t="str">
        <x:v>Category</x:v>
      </x:c>
      <x:c r="B9" s="30" t="str">
        <x:v>Revenue</x:v>
      </x:c>
      <x:c r="D9" s="30" t="str">
        <x:v>City</x:v>
      </x:c>
      <x:c r="E9" s="30" t="str">
        <x:v>Orders</x:v>
      </x:c>
    </x:row>
    <x:row r="10">
      <x:c r="A10" s="10" t="str">
        <x:v>Electronics</x:v>
      </x:c>
      <x:c r="B10" s="13" t="n">
        <x:f>SUMIF('Cleaned Data'!D2:D10,A10,'Cleaned Data'!H2:H10)</x:f>
        <x:v>730</x:v>
      </x:c>
      <x:c r="D10" s="10" t="str">
        <x:v>Almaty</x:v>
      </x:c>
      <x:c r="E10" s="10" t="n">
        <x:f>COUNTIF('Cleaned Data'!C2:C10,D10)</x:f>
        <x:v>3</x:v>
      </x:c>
    </x:row>
    <x:row r="11">
      <x:c r="A11" s="10" t="str">
        <x:v>Home</x:v>
      </x:c>
      <x:c r="B11" s="13" t="n">
        <x:f>SUMIF('Cleaned Data'!D2:D10,A11,'Cleaned Data'!H2:H10)</x:f>
        <x:v>315</x:v>
      </x:c>
      <x:c r="D11" s="10" t="str">
        <x:v>Astana</x:v>
      </x:c>
      <x:c r="E11" s="10" t="n">
        <x:f>COUNTIF('Cleaned Data'!C2:C10,D11)</x:f>
        <x:v>2</x:v>
      </x:c>
    </x:row>
    <x:row r="12">
      <x:c r="A12" s="10" t="str">
        <x:v>Food</x:v>
      </x:c>
      <x:c r="B12" s="13" t="n">
        <x:f>SUMIF('Cleaned Data'!D2:D10,A12,'Cleaned Data'!H2:H10)</x:f>
        <x:v>81</x:v>
      </x:c>
      <x:c r="D12" s="10" t="str">
        <x:v>Shymkent</x:v>
      </x:c>
      <x:c r="E12" s="10" t="n">
        <x:f>COUNTIF('Cleaned Data'!C2:C10,D12)</x:f>
        <x:v>2</x:v>
      </x:c>
    </x:row>
    <x:row r="13">
      <x:c r="A13" s="10" t="str">
        <x:v>Books</x:v>
      </x:c>
      <x:c r="B13" s="13" t="n">
        <x:f>SUMIF('Cleaned Data'!D2:D10,A13,'Cleaned Data'!H2:H10)</x:f>
        <x:v>116</x:v>
      </x:c>
      <x:c r="D13" s="10" t="str">
        <x:v>Karaganda</x:v>
      </x:c>
      <x:c r="E13" s="10" t="n">
        <x:f>COUNTIF('Cleaned Data'!C2:C10,D13)</x:f>
        <x:v>2</x:v>
      </x:c>
    </x:row>
    <x:row r="14">
      <x:c r="A14" s="10" t="str">
        <x:v>Total</x:v>
      </x:c>
      <x:c r="B14" s="13" t="n">
        <x:f>SUM(B10:B13)</x:f>
        <x:v>1242</x:v>
      </x:c>
    </x:row>
  </x:sheetData>
  <x:mergeCells>
    <x:mergeCell ref="A1:D1"/>
  </x:mergeCells>
  <x:pageMargins left="0.7" right="0.7" top="0.75" bottom="0.75" header="0.3" footer="0.3"/>
  <x:drawing xmlns:r="http://schemas.openxmlformats.org/officeDocument/2006/relationships" r:id="Rb19059e9581c4c48"/>
</x:worksheet>
</file>